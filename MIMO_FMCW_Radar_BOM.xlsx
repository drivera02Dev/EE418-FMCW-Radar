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owastate.sharepoint.com/sites/FMCWRadar/Shared Documents/General/BOM/"/>
    </mc:Choice>
  </mc:AlternateContent>
  <xr:revisionPtr revIDLastSave="258" documentId="13_ncr:1_{6F226CAC-A3A4-4913-B18A-E561972F0C6B}" xr6:coauthVersionLast="47" xr6:coauthVersionMax="47" xr10:uidLastSave="{CF71A4B9-5BD8-49EE-929B-C03ABC426E2A}"/>
  <bookViews>
    <workbookView xWindow="30612" yWindow="-108" windowWidth="30936" windowHeight="16776" activeTab="4" xr2:uid="{DF58F48D-776F-49C2-A6B8-CB154226855C}"/>
  </bookViews>
  <sheets>
    <sheet name="VCO" sheetId="6" r:id="rId1"/>
    <sheet name="Receiver" sheetId="1" r:id="rId2"/>
    <sheet name="Antenna" sheetId="5" r:id="rId3"/>
    <sheet name="Transmitter" sheetId="2" r:id="rId4"/>
    <sheet name="Order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10" i="6"/>
  <c r="F11" i="6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" i="3"/>
  <c r="E27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F20" i="2"/>
  <c r="F2" i="5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F3" i="6"/>
  <c r="F4" i="6"/>
  <c r="F5" i="6"/>
  <c r="F6" i="6"/>
  <c r="F7" i="6"/>
  <c r="F8" i="6"/>
  <c r="F9" i="6"/>
  <c r="F2" i="6"/>
  <c r="F20" i="1" l="1"/>
</calcChain>
</file>

<file path=xl/sharedStrings.xml><?xml version="1.0" encoding="utf-8"?>
<sst xmlns="http://schemas.openxmlformats.org/spreadsheetml/2006/main" count="293" uniqueCount="136">
  <si>
    <t>Manufacturer Part Number:</t>
  </si>
  <si>
    <t>Manufacturer:</t>
  </si>
  <si>
    <t>Quantity:</t>
  </si>
  <si>
    <t>Designator(s):</t>
  </si>
  <si>
    <t>Price:</t>
  </si>
  <si>
    <t>Total Cost:</t>
  </si>
  <si>
    <t>Description:</t>
  </si>
  <si>
    <t>RP0603BRD0725RL</t>
  </si>
  <si>
    <t>Yageo</t>
  </si>
  <si>
    <t>N/A</t>
  </si>
  <si>
    <t>RES 25 OHM 0.1% 1/10W 0603</t>
  </si>
  <si>
    <t>KDV06DR220ET</t>
  </si>
  <si>
    <t>Ohmite</t>
  </si>
  <si>
    <t>RES 0.22 OHM 0.5% 1/5W 0603</t>
  </si>
  <si>
    <t>RN73H1JTTD62R6B50</t>
  </si>
  <si>
    <t>KOA Speer</t>
  </si>
  <si>
    <t>RES 62.6 OHM 0.1% 1/10W 0603</t>
  </si>
  <si>
    <t>LM7805CT/NOPB</t>
  </si>
  <si>
    <t>Texas Instruments</t>
  </si>
  <si>
    <t>IC REG LINEAR 5V 1.5A TO220-3</t>
  </si>
  <si>
    <t>C0402C102K5RACTU</t>
  </si>
  <si>
    <t>KEMET</t>
  </si>
  <si>
    <t>1000 pF ±10% 50V Ceramic Capacitor X7R 0402 (1005 Metric)</t>
  </si>
  <si>
    <t>GRT155R61A224KE01D</t>
  </si>
  <si>
    <t>Murata</t>
  </si>
  <si>
    <t>CAP CER 0.22UF 10V X5R 0402</t>
  </si>
  <si>
    <t>KGM05AR51A474KH</t>
  </si>
  <si>
    <t>Kyocera</t>
  </si>
  <si>
    <t>0.47 µF ±10% 10V Ceramic Capacitor X5R 0402 (1005 Metric)</t>
  </si>
  <si>
    <t>142-1701-831</t>
  </si>
  <si>
    <t>Cinch Connectivity Solutions</t>
  </si>
  <si>
    <t>RF SMA Connector, 1 Contact(s), Female, Board Mount, Surface Mount Terminal, Locking, Jack</t>
  </si>
  <si>
    <t>HMC586LC4BTR</t>
  </si>
  <si>
    <t>Analog Devices</t>
  </si>
  <si>
    <t>IC VCO BUFFER AMP 8 GHZ</t>
  </si>
  <si>
    <t>UMK107AB7105KA-T</t>
  </si>
  <si>
    <t>TAIYO YUDEN</t>
  </si>
  <si>
    <t>C1, C2, C9, C11, C18, C19, C20, C22</t>
  </si>
  <si>
    <t>Ceramic Capacitor, Multilayer, Ceramic, 50V, 10% +Tol, 10% -Tol, X7R, 15% TC, 1uF, Surface Mount, 0603</t>
  </si>
  <si>
    <t>CGA3E2X7R1H103K080AA</t>
  </si>
  <si>
    <t>TDK</t>
  </si>
  <si>
    <t>C3, C5, C7</t>
  </si>
  <si>
    <t>CGA Series 0603 10 nF 50 V ±10 % Tolerance X7R SMT Multilayer Ceramic Capacitor</t>
  </si>
  <si>
    <t>C0603C101J5GACTU</t>
  </si>
  <si>
    <t>Yageo Group</t>
  </si>
  <si>
    <t>C4, C6, C8</t>
  </si>
  <si>
    <t>Multilayer Ceramic Capacitors MLCC – SMD/SMT; KEMET; C0603C101J5GACTU; 100 pF; 0603; 50 V; 50 V</t>
  </si>
  <si>
    <t>CGA3E2X7R1H104K080AA</t>
  </si>
  <si>
    <t>C10, C12, C13, C14, C15, C16, C23, C24, C25</t>
  </si>
  <si>
    <t>Ceramic Capacitor, Multilayer, Ceramic, 50V, 10% +Tol, 10% -Tol, X7R, 15% TC, 0.1uF, Surface Mount, 0603</t>
  </si>
  <si>
    <t>GRM21BR61E106MA73L</t>
  </si>
  <si>
    <t>C17, C21</t>
  </si>
  <si>
    <t>Ceramic Capacitor, Multilayer, Ceramic, 25V, 20% +Tol, 20% -Tol, X5R, 15% TC, 10uF, Surface Mount, 0805</t>
  </si>
  <si>
    <t>LTST-C190KRKT</t>
  </si>
  <si>
    <t>Lite-On</t>
  </si>
  <si>
    <t>D1</t>
  </si>
  <si>
    <t>Red, Single Color LED, Red, Water Clear</t>
  </si>
  <si>
    <t>PMEG2010BER,115</t>
  </si>
  <si>
    <t>Nexperia</t>
  </si>
  <si>
    <t>D2</t>
  </si>
  <si>
    <t>PMEG2010 Series 20 V 1 A SMT Low VF MEGA Schottky Barrier Rectifier - SOD-123W</t>
  </si>
  <si>
    <t>BLM18AG601SN1D</t>
  </si>
  <si>
    <t>FB1</t>
  </si>
  <si>
    <t>Ferrite Beads Multi-Layer 600Ohm 25% 100MHz 500mA 380mOhm DCR 0603 Automotive Paper T/R</t>
  </si>
  <si>
    <t>J2, J3, J4, J5, J6</t>
  </si>
  <si>
    <t>RG1608P-204-B-T5</t>
  </si>
  <si>
    <t>Susumu</t>
  </si>
  <si>
    <t>R1</t>
  </si>
  <si>
    <t>Res Thin Film 0603 200K Ohm 0.1% 0.1W(1/10W) ±25ppm/C Sulfur Resistant Pad SMD Automotive T/R</t>
  </si>
  <si>
    <t>CAY16-22R0F4LF</t>
  </si>
  <si>
    <t>Bourns</t>
  </si>
  <si>
    <t>R2</t>
  </si>
  <si>
    <t>Res Thick Film Array 22 Ohm 1% 0.25W(1/4W) ±200ppm/C ISOL 8-Pin 1206(4 X 0603) Convex SMD T/R</t>
  </si>
  <si>
    <t>RC0603FR-0710KL</t>
  </si>
  <si>
    <t>R3, R4</t>
  </si>
  <si>
    <t>Fixed Resistor, Metal Glaze/thick Film, 0.1W, 10000ohm, 75V, 1% +/-Tol, 100ppm/Cel, Surface Mount, 0603</t>
  </si>
  <si>
    <t>RMCF0603FT150R</t>
  </si>
  <si>
    <t>Stackpole Electronics</t>
  </si>
  <si>
    <t>R5</t>
  </si>
  <si>
    <t>150 Ohm, Res Thick Film 0603 1% 0.1W ±100ppm/°C Molded SMD Paper T/R</t>
  </si>
  <si>
    <t>MTY2-243+</t>
  </si>
  <si>
    <t>Mini-Circuits</t>
  </si>
  <si>
    <t>T1, T2, T3, T4</t>
  </si>
  <si>
    <t>RF Transformer, 10000MHz Min, 24000MHz Max</t>
  </si>
  <si>
    <t>ADAR2004ACCZ</t>
  </si>
  <si>
    <t>U1</t>
  </si>
  <si>
    <t>10 GHz to 40 GHz, 4-Channel Rx Mixer with 4× LO Multiplier/Filter</t>
  </si>
  <si>
    <t>SN74LVC8T245DGVR</t>
  </si>
  <si>
    <t>U2</t>
  </si>
  <si>
    <t>IC BUS TRANSCVR 8BIT 24TVSOP / Voltage Level Translator 8-CH Bidirectional 24-Pin TVSOP T/R</t>
  </si>
  <si>
    <t>74AXP2T45DCH</t>
  </si>
  <si>
    <t>U3, U5</t>
  </si>
  <si>
    <t>Dual Supply Level Translator 2-bit Bidirectional 0.95V to 5.5V 8-Pin VSSOP</t>
  </si>
  <si>
    <t>ADP7156ARDZ-2.5-R7</t>
  </si>
  <si>
    <t>U4</t>
  </si>
  <si>
    <t>LDO Regulator Pos 2.5V 1.2A 8-Pin SOIC N EP T/R</t>
  </si>
  <si>
    <t>142-0761-831</t>
  </si>
  <si>
    <t>SMA Connector</t>
  </si>
  <si>
    <t>C1, C2, C11, C13, C19, C22, C23, C24</t>
  </si>
  <si>
    <t>C3, C5, C7, C9</t>
  </si>
  <si>
    <t>C4, C6, C8, C10</t>
  </si>
  <si>
    <t>C12, C14, C15, C16, C17, C18, C20, C26, C27</t>
  </si>
  <si>
    <t>C21, C25</t>
  </si>
  <si>
    <t>R3, R5</t>
  </si>
  <si>
    <t>R4</t>
  </si>
  <si>
    <t>ADAR2001ACCZ</t>
  </si>
  <si>
    <t>Active RF Multipliers x4 10GHz to 40GHz-OUT 40-Pin LGA EP Tray</t>
  </si>
  <si>
    <t>Line Cost:</t>
  </si>
  <si>
    <t>DigiKey Part Number:</t>
  </si>
  <si>
    <t>587-3247-1-ND</t>
  </si>
  <si>
    <t>445-5662-1-ND</t>
  </si>
  <si>
    <t>399-C0603C101J5GACTUCT-ND</t>
  </si>
  <si>
    <t>445-5666-1-ND</t>
  </si>
  <si>
    <t>490-10748-1-ND</t>
  </si>
  <si>
    <t>160-1436-1-ND</t>
  </si>
  <si>
    <t>1727-5191-1-ND</t>
  </si>
  <si>
    <t>490-1014-1-ND</t>
  </si>
  <si>
    <t>J10163-ND</t>
  </si>
  <si>
    <t>RG16P200KBCT-ND</t>
  </si>
  <si>
    <t>CAY16-22R0F4LFCT-ND</t>
  </si>
  <si>
    <t>311-10.0KHRCT-ND</t>
  </si>
  <si>
    <t>RMCF0603FT150RCT-ND</t>
  </si>
  <si>
    <t>3157-MTY2-243+-ND</t>
  </si>
  <si>
    <t>296-19287-1-ND</t>
  </si>
  <si>
    <t>1727-74AXP2T45DCHCT-ND</t>
  </si>
  <si>
    <t>505-ADP7156ARDZ-2.5-R7CT-ND</t>
  </si>
  <si>
    <t>J804-ND</t>
  </si>
  <si>
    <t>13-RP0603BRD0725RLCT-ND</t>
  </si>
  <si>
    <t>CRCW0603220RFKEA</t>
  </si>
  <si>
    <t>Vishay Dale</t>
  </si>
  <si>
    <t>541-220HCT-ND</t>
  </si>
  <si>
    <t>2019-RN73H1JTTD62R6B50CT-ND</t>
  </si>
  <si>
    <t>296-47192-ND</t>
  </si>
  <si>
    <t>399-C0402C102K5RACTUCT-ND</t>
  </si>
  <si>
    <t>490-GRT155R61A224KE01DCT-ND</t>
  </si>
  <si>
    <t>478-KGM05AR51A474KHCT-ND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</si>
</sst>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(&quot;$&quot;* #,##0.0000_);_(&quot;$&quot;* \(#,##0.0000\);_(&quot;$&quot;* &quot;-&quot;????_);_(@_)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3" xfId="0" applyNumberFormat="1" applyBorder="1"/>
    <xf numFmtId="164" fontId="0" fillId="0" borderId="0" xfId="0" applyNumberFormat="1"/>
    <xf numFmtId="164" fontId="0" fillId="0" borderId="11" xfId="0" applyNumberFormat="1" applyBorder="1"/>
    <xf numFmtId="164" fontId="0" fillId="0" borderId="10" xfId="0" applyNumberFormat="1" applyBorder="1"/>
    <xf numFmtId="164" fontId="0" fillId="0" borderId="4" xfId="0" applyNumberFormat="1" applyBorder="1"/>
    <xf numFmtId="164" fontId="0" fillId="0" borderId="8" xfId="0" applyNumberFormat="1" applyBorder="1"/>
    <xf numFmtId="164" fontId="0" fillId="3" borderId="3" xfId="0" applyNumberFormat="1" applyFill="1" applyBorder="1"/>
    <xf numFmtId="164" fontId="0" fillId="0" borderId="1" xfId="0" applyNumberFormat="1" applyBorder="1"/>
    <xf numFmtId="164" fontId="0" fillId="0" borderId="2" xfId="0" applyNumberFormat="1" applyBorder="1"/>
    <xf numFmtId="0" fontId="2" fillId="2" borderId="3" xfId="0" applyFont="1" applyFill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/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164" fontId="0" fillId="0" borderId="7" xfId="0" applyNumberFormat="1" applyBorder="1"/>
    <xf numFmtId="164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A5AB-0A28-4C8B-858C-2B8F1A14DBE4}">
  <dimension ref="A1:G19"/>
  <sheetViews>
    <sheetView zoomScale="130" zoomScaleNormal="130" workbookViewId="0">
      <selection activeCell="D20" sqref="D20"/>
    </sheetView>
  </sheetViews>
  <sheetFormatPr defaultRowHeight="15" customHeight="1" x14ac:dyDescent="0.3"/>
  <cols>
    <col min="1" max="1" width="24.33203125" bestFit="1" customWidth="1"/>
    <col min="2" max="2" width="25" bestFit="1" customWidth="1"/>
    <col min="3" max="3" width="8.6640625" bestFit="1" customWidth="1"/>
    <col min="4" max="4" width="39.6640625" bestFit="1" customWidth="1"/>
    <col min="5" max="5" width="7.6640625" bestFit="1" customWidth="1"/>
    <col min="6" max="6" width="10.44140625" bestFit="1" customWidth="1"/>
    <col min="7" max="7" width="91.109375" bestFit="1" customWidth="1"/>
  </cols>
  <sheetData>
    <row r="1" spans="1:7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">
      <c r="A2" s="18" t="s">
        <v>7</v>
      </c>
      <c r="B2" s="15" t="s">
        <v>8</v>
      </c>
      <c r="C2" s="16">
        <v>3</v>
      </c>
      <c r="D2" s="19" t="s">
        <v>9</v>
      </c>
      <c r="E2" s="28">
        <v>0.22</v>
      </c>
      <c r="F2" s="26">
        <f>C2*E2</f>
        <v>0.66</v>
      </c>
      <c r="G2" s="19" t="s">
        <v>10</v>
      </c>
    </row>
    <row r="3" spans="1:7" x14ac:dyDescent="0.3">
      <c r="A3" s="18" t="s">
        <v>11</v>
      </c>
      <c r="B3" s="15" t="s">
        <v>12</v>
      </c>
      <c r="C3" s="16">
        <v>2</v>
      </c>
      <c r="D3" s="19" t="s">
        <v>9</v>
      </c>
      <c r="E3" s="28">
        <v>0.22</v>
      </c>
      <c r="F3" s="26">
        <f t="shared" ref="F3:F10" si="0">C3*E3</f>
        <v>0.44</v>
      </c>
      <c r="G3" s="19" t="s">
        <v>13</v>
      </c>
    </row>
    <row r="4" spans="1:7" x14ac:dyDescent="0.3">
      <c r="A4" s="18" t="s">
        <v>14</v>
      </c>
      <c r="B4" s="15" t="s">
        <v>15</v>
      </c>
      <c r="C4" s="16">
        <v>4</v>
      </c>
      <c r="D4" s="19" t="s">
        <v>9</v>
      </c>
      <c r="E4" s="28">
        <v>0.21</v>
      </c>
      <c r="F4" s="26">
        <f t="shared" si="0"/>
        <v>0.84</v>
      </c>
      <c r="G4" s="19" t="s">
        <v>16</v>
      </c>
    </row>
    <row r="5" spans="1:7" x14ac:dyDescent="0.3">
      <c r="A5" s="18" t="s">
        <v>17</v>
      </c>
      <c r="B5" s="15" t="s">
        <v>18</v>
      </c>
      <c r="C5" s="16">
        <v>1</v>
      </c>
      <c r="D5" s="19" t="s">
        <v>9</v>
      </c>
      <c r="E5" s="28">
        <v>1.8</v>
      </c>
      <c r="F5" s="26">
        <f t="shared" si="0"/>
        <v>1.8</v>
      </c>
      <c r="G5" s="19" t="s">
        <v>19</v>
      </c>
    </row>
    <row r="6" spans="1:7" x14ac:dyDescent="0.3">
      <c r="A6" s="18" t="s">
        <v>20</v>
      </c>
      <c r="B6" s="15" t="s">
        <v>21</v>
      </c>
      <c r="C6" s="16">
        <v>1</v>
      </c>
      <c r="D6" s="19" t="s">
        <v>9</v>
      </c>
      <c r="E6" s="28">
        <v>0.08</v>
      </c>
      <c r="F6" s="26">
        <f t="shared" si="0"/>
        <v>0.08</v>
      </c>
      <c r="G6" s="19" t="s">
        <v>22</v>
      </c>
    </row>
    <row r="7" spans="1:7" x14ac:dyDescent="0.3">
      <c r="A7" s="18" t="s">
        <v>23</v>
      </c>
      <c r="B7" s="15" t="s">
        <v>24</v>
      </c>
      <c r="C7" s="16">
        <v>1</v>
      </c>
      <c r="D7" s="19" t="s">
        <v>9</v>
      </c>
      <c r="E7" s="29">
        <v>0.1</v>
      </c>
      <c r="F7" s="26">
        <f t="shared" si="0"/>
        <v>0.1</v>
      </c>
      <c r="G7" s="19" t="s">
        <v>25</v>
      </c>
    </row>
    <row r="8" spans="1:7" x14ac:dyDescent="0.3">
      <c r="A8" s="22" t="s">
        <v>26</v>
      </c>
      <c r="B8" s="15" t="s">
        <v>27</v>
      </c>
      <c r="C8" s="16">
        <v>1</v>
      </c>
      <c r="D8" s="25" t="s">
        <v>9</v>
      </c>
      <c r="E8" s="30">
        <v>0.52</v>
      </c>
      <c r="F8" s="26">
        <f t="shared" si="0"/>
        <v>0.52</v>
      </c>
      <c r="G8" s="19" t="s">
        <v>28</v>
      </c>
    </row>
    <row r="9" spans="1:7" x14ac:dyDescent="0.3">
      <c r="A9" s="44" t="s">
        <v>29</v>
      </c>
      <c r="B9" s="45" t="s">
        <v>30</v>
      </c>
      <c r="C9" s="46">
        <v>3</v>
      </c>
      <c r="D9" s="25" t="s">
        <v>9</v>
      </c>
      <c r="E9" s="47">
        <v>13.04</v>
      </c>
      <c r="F9" s="31">
        <f t="shared" si="0"/>
        <v>39.119999999999997</v>
      </c>
      <c r="G9" s="40" t="s">
        <v>31</v>
      </c>
    </row>
    <row r="10" spans="1:7" x14ac:dyDescent="0.3">
      <c r="A10" s="15" t="s">
        <v>32</v>
      </c>
      <c r="B10" s="15" t="s">
        <v>33</v>
      </c>
      <c r="C10" s="16">
        <v>1</v>
      </c>
      <c r="D10" s="14" t="s">
        <v>9</v>
      </c>
      <c r="E10" s="14">
        <v>273.23</v>
      </c>
      <c r="F10" s="26">
        <f t="shared" si="0"/>
        <v>273.23</v>
      </c>
      <c r="G10" s="14" t="s">
        <v>34</v>
      </c>
    </row>
    <row r="11" spans="1:7" x14ac:dyDescent="0.3">
      <c r="A11" s="8"/>
      <c r="B11" s="8"/>
      <c r="C11" s="13"/>
      <c r="F11" s="48">
        <f>SUM(F3:F10)</f>
        <v>316.13</v>
      </c>
    </row>
    <row r="12" spans="1:7" x14ac:dyDescent="0.3">
      <c r="A12" s="8"/>
      <c r="B12" s="8"/>
      <c r="C12" s="13"/>
    </row>
    <row r="13" spans="1:7" x14ac:dyDescent="0.3">
      <c r="A13" s="8"/>
      <c r="B13" s="8"/>
      <c r="C13" s="13"/>
    </row>
    <row r="14" spans="1:7" x14ac:dyDescent="0.3">
      <c r="A14" s="8"/>
      <c r="B14" s="8"/>
      <c r="C14" s="13"/>
    </row>
    <row r="15" spans="1:7" x14ac:dyDescent="0.3">
      <c r="A15" s="8"/>
      <c r="B15" s="8"/>
      <c r="C15" s="13"/>
    </row>
    <row r="16" spans="1:7" x14ac:dyDescent="0.3">
      <c r="A16" s="8"/>
      <c r="B16" s="8"/>
      <c r="C16" s="13"/>
    </row>
    <row r="17" spans="1:3" x14ac:dyDescent="0.3">
      <c r="A17" s="8"/>
      <c r="B17" s="8"/>
      <c r="C17" s="13"/>
    </row>
    <row r="18" spans="1:3" x14ac:dyDescent="0.3">
      <c r="A18" s="8"/>
      <c r="B18" s="8"/>
      <c r="C18" s="13"/>
    </row>
    <row r="19" spans="1:3" x14ac:dyDescent="0.3">
      <c r="A19" s="8"/>
      <c r="B19" s="8"/>
      <c r="C1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71FB-BEAF-45AC-964D-F62ED4672CB9}">
  <dimension ref="A1:G20"/>
  <sheetViews>
    <sheetView topLeftCell="B1" zoomScale="145" zoomScaleNormal="145" workbookViewId="0">
      <selection activeCell="E2" sqref="E2:E19"/>
    </sheetView>
  </sheetViews>
  <sheetFormatPr defaultRowHeight="14.4" x14ac:dyDescent="0.3"/>
  <cols>
    <col min="1" max="1" width="28.33203125" bestFit="1" customWidth="1"/>
    <col min="2" max="2" width="25" bestFit="1" customWidth="1"/>
    <col min="3" max="3" width="8.6640625" bestFit="1" customWidth="1"/>
    <col min="4" max="4" width="39.6640625" bestFit="1" customWidth="1"/>
    <col min="5" max="5" width="8.6640625" bestFit="1" customWidth="1"/>
    <col min="6" max="6" width="10.44140625" bestFit="1" customWidth="1"/>
    <col min="7" max="7" width="91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5" t="s">
        <v>35</v>
      </c>
      <c r="B2" s="5" t="s">
        <v>36</v>
      </c>
      <c r="C2" s="4">
        <v>8</v>
      </c>
      <c r="D2" s="1" t="s">
        <v>37</v>
      </c>
      <c r="E2" s="33">
        <v>0.08</v>
      </c>
      <c r="F2" s="33">
        <f>C2*E2</f>
        <v>0.64</v>
      </c>
      <c r="G2" s="1" t="s">
        <v>38</v>
      </c>
    </row>
    <row r="3" spans="1:7" x14ac:dyDescent="0.3">
      <c r="A3" s="5" t="s">
        <v>39</v>
      </c>
      <c r="B3" s="5" t="s">
        <v>40</v>
      </c>
      <c r="C3" s="4">
        <v>3</v>
      </c>
      <c r="D3" s="1" t="s">
        <v>41</v>
      </c>
      <c r="E3" s="33">
        <v>0.1</v>
      </c>
      <c r="F3" s="33">
        <f t="shared" ref="F3:F19" si="0">C3*E3</f>
        <v>0.30000000000000004</v>
      </c>
      <c r="G3" s="1" t="s">
        <v>42</v>
      </c>
    </row>
    <row r="4" spans="1:7" x14ac:dyDescent="0.3">
      <c r="A4" s="5" t="s">
        <v>43</v>
      </c>
      <c r="B4" s="5" t="s">
        <v>44</v>
      </c>
      <c r="C4" s="4">
        <v>3</v>
      </c>
      <c r="D4" s="1" t="s">
        <v>45</v>
      </c>
      <c r="E4" s="33">
        <v>0.1</v>
      </c>
      <c r="F4" s="33">
        <f t="shared" si="0"/>
        <v>0.30000000000000004</v>
      </c>
      <c r="G4" s="1" t="s">
        <v>46</v>
      </c>
    </row>
    <row r="5" spans="1:7" x14ac:dyDescent="0.3">
      <c r="A5" s="5" t="s">
        <v>47</v>
      </c>
      <c r="B5" s="5" t="s">
        <v>40</v>
      </c>
      <c r="C5" s="4">
        <v>9</v>
      </c>
      <c r="D5" s="1" t="s">
        <v>48</v>
      </c>
      <c r="E5" s="33">
        <v>0.1</v>
      </c>
      <c r="F5" s="33">
        <f t="shared" si="0"/>
        <v>0.9</v>
      </c>
      <c r="G5" s="1" t="s">
        <v>49</v>
      </c>
    </row>
    <row r="6" spans="1:7" x14ac:dyDescent="0.3">
      <c r="A6" s="5" t="s">
        <v>50</v>
      </c>
      <c r="B6" s="5" t="s">
        <v>24</v>
      </c>
      <c r="C6" s="4">
        <v>2</v>
      </c>
      <c r="D6" s="1" t="s">
        <v>51</v>
      </c>
      <c r="E6" s="33">
        <v>0.15</v>
      </c>
      <c r="F6" s="33">
        <f t="shared" si="0"/>
        <v>0.3</v>
      </c>
      <c r="G6" s="1" t="s">
        <v>52</v>
      </c>
    </row>
    <row r="7" spans="1:7" x14ac:dyDescent="0.3">
      <c r="A7" s="5" t="s">
        <v>53</v>
      </c>
      <c r="B7" s="5" t="s">
        <v>54</v>
      </c>
      <c r="C7" s="4">
        <v>1</v>
      </c>
      <c r="D7" s="1" t="s">
        <v>55</v>
      </c>
      <c r="E7" s="33">
        <v>0.14000000000000001</v>
      </c>
      <c r="F7" s="33">
        <f t="shared" si="0"/>
        <v>0.14000000000000001</v>
      </c>
      <c r="G7" s="1" t="s">
        <v>56</v>
      </c>
    </row>
    <row r="8" spans="1:7" x14ac:dyDescent="0.3">
      <c r="A8" s="5" t="s">
        <v>57</v>
      </c>
      <c r="B8" s="5" t="s">
        <v>58</v>
      </c>
      <c r="C8" s="4">
        <v>1</v>
      </c>
      <c r="D8" s="1" t="s">
        <v>59</v>
      </c>
      <c r="E8" s="33">
        <v>0.37</v>
      </c>
      <c r="F8" s="33">
        <f t="shared" si="0"/>
        <v>0.37</v>
      </c>
      <c r="G8" s="1" t="s">
        <v>60</v>
      </c>
    </row>
    <row r="9" spans="1:7" x14ac:dyDescent="0.3">
      <c r="A9" s="5" t="s">
        <v>61</v>
      </c>
      <c r="B9" s="5" t="s">
        <v>24</v>
      </c>
      <c r="C9" s="4">
        <v>1</v>
      </c>
      <c r="D9" s="1" t="s">
        <v>62</v>
      </c>
      <c r="E9" s="33">
        <v>0.1</v>
      </c>
      <c r="F9" s="33">
        <f t="shared" si="0"/>
        <v>0.1</v>
      </c>
      <c r="G9" s="1" t="s">
        <v>63</v>
      </c>
    </row>
    <row r="10" spans="1:7" x14ac:dyDescent="0.3">
      <c r="A10" s="5" t="s">
        <v>29</v>
      </c>
      <c r="B10" s="5" t="s">
        <v>30</v>
      </c>
      <c r="C10" s="4">
        <v>5</v>
      </c>
      <c r="D10" s="1" t="s">
        <v>64</v>
      </c>
      <c r="E10" s="33">
        <v>13.04</v>
      </c>
      <c r="F10" s="33">
        <f t="shared" si="0"/>
        <v>65.199999999999989</v>
      </c>
      <c r="G10" s="1" t="s">
        <v>31</v>
      </c>
    </row>
    <row r="11" spans="1:7" x14ac:dyDescent="0.3">
      <c r="A11" s="5" t="s">
        <v>65</v>
      </c>
      <c r="B11" s="5" t="s">
        <v>66</v>
      </c>
      <c r="C11" s="4">
        <v>1</v>
      </c>
      <c r="D11" s="1" t="s">
        <v>67</v>
      </c>
      <c r="E11" s="33">
        <v>0.1</v>
      </c>
      <c r="F11" s="33">
        <f t="shared" si="0"/>
        <v>0.1</v>
      </c>
      <c r="G11" s="1" t="s">
        <v>68</v>
      </c>
    </row>
    <row r="12" spans="1:7" x14ac:dyDescent="0.3">
      <c r="A12" s="5" t="s">
        <v>69</v>
      </c>
      <c r="B12" s="5" t="s">
        <v>70</v>
      </c>
      <c r="C12" s="4">
        <v>1</v>
      </c>
      <c r="D12" s="1" t="s">
        <v>71</v>
      </c>
      <c r="E12" s="33">
        <v>0.1</v>
      </c>
      <c r="F12" s="33">
        <f t="shared" si="0"/>
        <v>0.1</v>
      </c>
      <c r="G12" s="1" t="s">
        <v>72</v>
      </c>
    </row>
    <row r="13" spans="1:7" x14ac:dyDescent="0.3">
      <c r="A13" s="5" t="s">
        <v>73</v>
      </c>
      <c r="B13" s="5" t="s">
        <v>44</v>
      </c>
      <c r="C13" s="4">
        <v>2</v>
      </c>
      <c r="D13" s="1" t="s">
        <v>74</v>
      </c>
      <c r="E13" s="33">
        <v>0.1</v>
      </c>
      <c r="F13" s="33">
        <f t="shared" si="0"/>
        <v>0.2</v>
      </c>
      <c r="G13" s="1" t="s">
        <v>75</v>
      </c>
    </row>
    <row r="14" spans="1:7" x14ac:dyDescent="0.3">
      <c r="A14" s="5" t="s">
        <v>76</v>
      </c>
      <c r="B14" s="5" t="s">
        <v>77</v>
      </c>
      <c r="C14" s="4">
        <v>1</v>
      </c>
      <c r="D14" s="1" t="s">
        <v>78</v>
      </c>
      <c r="E14" s="33">
        <v>0.1</v>
      </c>
      <c r="F14" s="33">
        <f t="shared" si="0"/>
        <v>0.1</v>
      </c>
      <c r="G14" s="1" t="s">
        <v>79</v>
      </c>
    </row>
    <row r="15" spans="1:7" x14ac:dyDescent="0.3">
      <c r="A15" s="5" t="s">
        <v>80</v>
      </c>
      <c r="B15" s="5" t="s">
        <v>81</v>
      </c>
      <c r="C15" s="4">
        <v>4</v>
      </c>
      <c r="D15" s="1" t="s">
        <v>82</v>
      </c>
      <c r="E15" s="33">
        <v>20.63</v>
      </c>
      <c r="F15" s="33">
        <f t="shared" si="0"/>
        <v>82.52</v>
      </c>
      <c r="G15" s="1" t="s">
        <v>83</v>
      </c>
    </row>
    <row r="16" spans="1:7" x14ac:dyDescent="0.3">
      <c r="A16" s="5" t="s">
        <v>84</v>
      </c>
      <c r="B16" s="5" t="s">
        <v>33</v>
      </c>
      <c r="C16" s="4">
        <v>1</v>
      </c>
      <c r="D16" s="1" t="s">
        <v>85</v>
      </c>
      <c r="E16" s="33">
        <v>146.37</v>
      </c>
      <c r="F16" s="33">
        <f t="shared" si="0"/>
        <v>146.37</v>
      </c>
      <c r="G16" s="1" t="s">
        <v>86</v>
      </c>
    </row>
    <row r="17" spans="1:7" x14ac:dyDescent="0.3">
      <c r="A17" s="5" t="s">
        <v>87</v>
      </c>
      <c r="B17" s="1" t="s">
        <v>18</v>
      </c>
      <c r="C17" s="4">
        <v>1</v>
      </c>
      <c r="D17" s="1" t="s">
        <v>88</v>
      </c>
      <c r="E17" s="33">
        <v>1.57</v>
      </c>
      <c r="F17" s="33">
        <f t="shared" si="0"/>
        <v>1.57</v>
      </c>
      <c r="G17" s="1" t="s">
        <v>89</v>
      </c>
    </row>
    <row r="18" spans="1:7" x14ac:dyDescent="0.3">
      <c r="A18" s="5" t="s">
        <v>90</v>
      </c>
      <c r="B18" s="1" t="s">
        <v>58</v>
      </c>
      <c r="C18" s="4">
        <v>2</v>
      </c>
      <c r="D18" s="1" t="s">
        <v>91</v>
      </c>
      <c r="E18" s="33">
        <v>0.62</v>
      </c>
      <c r="F18" s="33">
        <f t="shared" si="0"/>
        <v>1.24</v>
      </c>
      <c r="G18" s="1" t="s">
        <v>92</v>
      </c>
    </row>
    <row r="19" spans="1:7" x14ac:dyDescent="0.3">
      <c r="A19" s="5" t="s">
        <v>93</v>
      </c>
      <c r="B19" s="1" t="s">
        <v>33</v>
      </c>
      <c r="C19" s="4">
        <v>1</v>
      </c>
      <c r="D19" s="1" t="s">
        <v>94</v>
      </c>
      <c r="E19" s="33">
        <v>8.42</v>
      </c>
      <c r="F19" s="34">
        <f t="shared" si="0"/>
        <v>8.42</v>
      </c>
      <c r="G19" s="1" t="s">
        <v>95</v>
      </c>
    </row>
    <row r="20" spans="1:7" x14ac:dyDescent="0.3">
      <c r="F20" s="32">
        <f>SUM(F2:F19)</f>
        <v>308.87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B3C1-2826-472A-9631-D926C6A926FB}">
  <dimension ref="A1:G19"/>
  <sheetViews>
    <sheetView zoomScale="130" zoomScaleNormal="130" workbookViewId="0">
      <selection activeCell="F4" sqref="F4"/>
    </sheetView>
  </sheetViews>
  <sheetFormatPr defaultRowHeight="14.4" x14ac:dyDescent="0.3"/>
  <cols>
    <col min="1" max="1" width="24.33203125" bestFit="1" customWidth="1"/>
    <col min="2" max="2" width="25" bestFit="1" customWidth="1"/>
    <col min="3" max="3" width="8.6640625" bestFit="1" customWidth="1"/>
    <col min="4" max="4" width="13.44140625" bestFit="1" customWidth="1"/>
    <col min="5" max="6" width="13.44140625" customWidth="1"/>
    <col min="7" max="7" width="14.109375" bestFit="1" customWidth="1"/>
  </cols>
  <sheetData>
    <row r="1" spans="1:7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x14ac:dyDescent="0.3">
      <c r="A2" s="15" t="s">
        <v>96</v>
      </c>
      <c r="B2" s="15" t="s">
        <v>30</v>
      </c>
      <c r="C2" s="16">
        <v>10</v>
      </c>
      <c r="D2" s="14" t="s">
        <v>9</v>
      </c>
      <c r="E2" s="26">
        <v>12.33</v>
      </c>
      <c r="F2" s="31">
        <f>C2*E2</f>
        <v>123.3</v>
      </c>
      <c r="G2" s="14" t="s">
        <v>97</v>
      </c>
    </row>
    <row r="3" spans="1:7" x14ac:dyDescent="0.3">
      <c r="A3" s="8"/>
      <c r="B3" s="8"/>
      <c r="C3" s="13"/>
      <c r="E3" s="27"/>
      <c r="F3" s="32">
        <f>F2</f>
        <v>123.3</v>
      </c>
    </row>
    <row r="4" spans="1:7" x14ac:dyDescent="0.3">
      <c r="A4" s="8"/>
      <c r="B4" s="8"/>
      <c r="C4" s="13"/>
      <c r="E4" s="27"/>
      <c r="F4" s="27"/>
    </row>
    <row r="5" spans="1:7" x14ac:dyDescent="0.3">
      <c r="A5" s="8"/>
      <c r="B5" s="8"/>
      <c r="C5" s="13"/>
      <c r="E5" s="27"/>
      <c r="F5" s="27"/>
    </row>
    <row r="6" spans="1:7" x14ac:dyDescent="0.3">
      <c r="A6" s="8"/>
      <c r="B6" s="8"/>
      <c r="C6" s="13"/>
      <c r="E6" s="27"/>
      <c r="F6" s="27"/>
    </row>
    <row r="7" spans="1:7" x14ac:dyDescent="0.3">
      <c r="A7" s="8"/>
      <c r="B7" s="8"/>
      <c r="C7" s="13"/>
      <c r="E7" s="27"/>
      <c r="F7" s="27"/>
    </row>
    <row r="8" spans="1:7" x14ac:dyDescent="0.3">
      <c r="A8" s="8"/>
      <c r="B8" s="8"/>
      <c r="C8" s="13"/>
      <c r="E8" s="27"/>
      <c r="F8" s="27"/>
    </row>
    <row r="9" spans="1:7" x14ac:dyDescent="0.3">
      <c r="A9" s="8"/>
      <c r="B9" s="8"/>
      <c r="C9" s="13"/>
      <c r="E9" s="27"/>
      <c r="F9" s="27"/>
    </row>
    <row r="10" spans="1:7" x14ac:dyDescent="0.3">
      <c r="A10" s="8"/>
      <c r="B10" s="8"/>
      <c r="C10" s="13"/>
      <c r="E10" s="27"/>
      <c r="F10" s="27"/>
    </row>
    <row r="11" spans="1:7" x14ac:dyDescent="0.3">
      <c r="A11" s="8"/>
      <c r="B11" s="8"/>
      <c r="C11" s="13"/>
      <c r="E11" s="27"/>
      <c r="F11" s="27"/>
    </row>
    <row r="12" spans="1:7" x14ac:dyDescent="0.3">
      <c r="A12" s="8"/>
      <c r="B12" s="8"/>
      <c r="C12" s="13"/>
      <c r="E12" s="27"/>
      <c r="F12" s="27"/>
    </row>
    <row r="13" spans="1:7" x14ac:dyDescent="0.3">
      <c r="A13" s="8"/>
      <c r="B13" s="8"/>
      <c r="C13" s="13"/>
      <c r="E13" s="27"/>
      <c r="F13" s="27"/>
    </row>
    <row r="14" spans="1:7" x14ac:dyDescent="0.3">
      <c r="A14" s="8"/>
      <c r="B14" s="8"/>
      <c r="C14" s="13"/>
      <c r="E14" s="27"/>
      <c r="F14" s="27"/>
    </row>
    <row r="15" spans="1:7" x14ac:dyDescent="0.3">
      <c r="A15" s="8"/>
      <c r="B15" s="8"/>
      <c r="C15" s="13"/>
      <c r="E15" s="27"/>
      <c r="F15" s="27"/>
    </row>
    <row r="16" spans="1:7" x14ac:dyDescent="0.3">
      <c r="A16" s="8"/>
      <c r="B16" s="8"/>
      <c r="C16" s="13"/>
      <c r="E16" s="27"/>
      <c r="F16" s="27"/>
    </row>
    <row r="17" spans="1:6" x14ac:dyDescent="0.3">
      <c r="A17" s="8"/>
      <c r="B17" s="8"/>
      <c r="C17" s="13"/>
      <c r="E17" s="27"/>
      <c r="F17" s="27"/>
    </row>
    <row r="18" spans="1:6" x14ac:dyDescent="0.3">
      <c r="A18" s="8"/>
      <c r="B18" s="8"/>
      <c r="C18" s="13"/>
      <c r="E18" s="27"/>
      <c r="F18" s="27"/>
    </row>
    <row r="19" spans="1:6" x14ac:dyDescent="0.3">
      <c r="A19" s="8"/>
      <c r="B19" s="8"/>
      <c r="C19" s="13"/>
      <c r="E19" s="27"/>
      <c r="F19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EA9E-B199-4301-A908-92A36C3ECDB6}">
  <dimension ref="A1:G20"/>
  <sheetViews>
    <sheetView topLeftCell="B1" zoomScale="130" zoomScaleNormal="130" workbookViewId="0">
      <selection activeCell="D18" sqref="D18"/>
    </sheetView>
  </sheetViews>
  <sheetFormatPr defaultRowHeight="14.4" x14ac:dyDescent="0.3"/>
  <cols>
    <col min="1" max="1" width="24.33203125" bestFit="1" customWidth="1"/>
    <col min="2" max="2" width="25" bestFit="1" customWidth="1"/>
    <col min="3" max="3" width="8.6640625" bestFit="1" customWidth="1"/>
    <col min="4" max="4" width="39.6640625" bestFit="1" customWidth="1"/>
    <col min="5" max="5" width="8.6640625" bestFit="1" customWidth="1"/>
    <col min="6" max="6" width="10.44140625" bestFit="1" customWidth="1"/>
    <col min="7" max="7" width="91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5" t="s">
        <v>35</v>
      </c>
      <c r="B2" s="5" t="s">
        <v>36</v>
      </c>
      <c r="C2" s="3">
        <v>8</v>
      </c>
      <c r="D2" s="1" t="s">
        <v>98</v>
      </c>
      <c r="E2" s="33">
        <v>0.08</v>
      </c>
      <c r="F2" s="33">
        <f>E2*C2</f>
        <v>0.64</v>
      </c>
      <c r="G2" s="1" t="s">
        <v>38</v>
      </c>
    </row>
    <row r="3" spans="1:7" x14ac:dyDescent="0.3">
      <c r="A3" s="5" t="s">
        <v>39</v>
      </c>
      <c r="B3" s="5" t="s">
        <v>40</v>
      </c>
      <c r="C3" s="3">
        <v>4</v>
      </c>
      <c r="D3" s="1" t="s">
        <v>99</v>
      </c>
      <c r="E3" s="33">
        <v>0.1</v>
      </c>
      <c r="F3" s="33">
        <f t="shared" ref="F3:F19" si="0">E3*C3</f>
        <v>0.4</v>
      </c>
      <c r="G3" s="1" t="s">
        <v>42</v>
      </c>
    </row>
    <row r="4" spans="1:7" x14ac:dyDescent="0.3">
      <c r="A4" s="5" t="s">
        <v>43</v>
      </c>
      <c r="B4" s="5" t="s">
        <v>44</v>
      </c>
      <c r="C4" s="3">
        <v>4</v>
      </c>
      <c r="D4" s="1" t="s">
        <v>100</v>
      </c>
      <c r="E4" s="33">
        <v>0.1</v>
      </c>
      <c r="F4" s="33">
        <f t="shared" si="0"/>
        <v>0.4</v>
      </c>
      <c r="G4" s="1" t="s">
        <v>46</v>
      </c>
    </row>
    <row r="5" spans="1:7" x14ac:dyDescent="0.3">
      <c r="A5" s="5" t="s">
        <v>47</v>
      </c>
      <c r="B5" s="5" t="s">
        <v>40</v>
      </c>
      <c r="C5" s="3">
        <v>9</v>
      </c>
      <c r="D5" s="1" t="s">
        <v>101</v>
      </c>
      <c r="E5" s="33">
        <v>0.1</v>
      </c>
      <c r="F5" s="33">
        <f t="shared" si="0"/>
        <v>0.9</v>
      </c>
      <c r="G5" s="1" t="s">
        <v>49</v>
      </c>
    </row>
    <row r="6" spans="1:7" x14ac:dyDescent="0.3">
      <c r="A6" s="5" t="s">
        <v>50</v>
      </c>
      <c r="B6" s="5" t="s">
        <v>24</v>
      </c>
      <c r="C6" s="3">
        <v>2</v>
      </c>
      <c r="D6" s="1" t="s">
        <v>102</v>
      </c>
      <c r="E6" s="33">
        <v>0.15</v>
      </c>
      <c r="F6" s="33">
        <f t="shared" si="0"/>
        <v>0.3</v>
      </c>
      <c r="G6" s="1" t="s">
        <v>52</v>
      </c>
    </row>
    <row r="7" spans="1:7" x14ac:dyDescent="0.3">
      <c r="A7" s="5" t="s">
        <v>53</v>
      </c>
      <c r="B7" s="5" t="s">
        <v>54</v>
      </c>
      <c r="C7" s="3">
        <v>1</v>
      </c>
      <c r="D7" s="1" t="s">
        <v>55</v>
      </c>
      <c r="E7" s="33">
        <v>0.14000000000000001</v>
      </c>
      <c r="F7" s="33">
        <f t="shared" si="0"/>
        <v>0.14000000000000001</v>
      </c>
      <c r="G7" s="1" t="s">
        <v>56</v>
      </c>
    </row>
    <row r="8" spans="1:7" x14ac:dyDescent="0.3">
      <c r="A8" s="5" t="s">
        <v>57</v>
      </c>
      <c r="B8" s="5" t="s">
        <v>58</v>
      </c>
      <c r="C8" s="3">
        <v>1</v>
      </c>
      <c r="D8" s="1" t="s">
        <v>59</v>
      </c>
      <c r="E8" s="33">
        <v>0.37</v>
      </c>
      <c r="F8" s="33">
        <f t="shared" si="0"/>
        <v>0.37</v>
      </c>
      <c r="G8" s="1" t="s">
        <v>60</v>
      </c>
    </row>
    <row r="9" spans="1:7" x14ac:dyDescent="0.3">
      <c r="A9" s="5" t="s">
        <v>61</v>
      </c>
      <c r="B9" s="5" t="s">
        <v>24</v>
      </c>
      <c r="C9" s="3">
        <v>1</v>
      </c>
      <c r="D9" s="1" t="s">
        <v>62</v>
      </c>
      <c r="E9" s="33">
        <v>0.1</v>
      </c>
      <c r="F9" s="33">
        <f t="shared" si="0"/>
        <v>0.1</v>
      </c>
      <c r="G9" s="1" t="s">
        <v>63</v>
      </c>
    </row>
    <row r="10" spans="1:7" x14ac:dyDescent="0.3">
      <c r="A10" s="5" t="s">
        <v>29</v>
      </c>
      <c r="B10" s="5" t="s">
        <v>30</v>
      </c>
      <c r="C10" s="3">
        <v>5</v>
      </c>
      <c r="D10" s="1" t="s">
        <v>64</v>
      </c>
      <c r="E10" s="33">
        <v>13.04</v>
      </c>
      <c r="F10" s="33">
        <f t="shared" si="0"/>
        <v>65.199999999999989</v>
      </c>
      <c r="G10" s="1" t="s">
        <v>31</v>
      </c>
    </row>
    <row r="11" spans="1:7" x14ac:dyDescent="0.3">
      <c r="A11" s="5" t="s">
        <v>65</v>
      </c>
      <c r="B11" s="5" t="s">
        <v>66</v>
      </c>
      <c r="C11" s="3">
        <v>1</v>
      </c>
      <c r="D11" s="1" t="s">
        <v>67</v>
      </c>
      <c r="E11" s="33">
        <v>0.1</v>
      </c>
      <c r="F11" s="33">
        <f t="shared" si="0"/>
        <v>0.1</v>
      </c>
      <c r="G11" s="1" t="s">
        <v>68</v>
      </c>
    </row>
    <row r="12" spans="1:7" x14ac:dyDescent="0.3">
      <c r="A12" s="5" t="s">
        <v>69</v>
      </c>
      <c r="B12" s="5" t="s">
        <v>70</v>
      </c>
      <c r="C12" s="3">
        <v>1</v>
      </c>
      <c r="D12" s="1" t="s">
        <v>71</v>
      </c>
      <c r="E12" s="33">
        <v>0.1</v>
      </c>
      <c r="F12" s="33">
        <f t="shared" si="0"/>
        <v>0.1</v>
      </c>
      <c r="G12" s="1" t="s">
        <v>72</v>
      </c>
    </row>
    <row r="13" spans="1:7" x14ac:dyDescent="0.3">
      <c r="A13" s="5" t="s">
        <v>73</v>
      </c>
      <c r="B13" s="5" t="s">
        <v>44</v>
      </c>
      <c r="C13" s="3">
        <v>2</v>
      </c>
      <c r="D13" s="1" t="s">
        <v>103</v>
      </c>
      <c r="E13" s="33">
        <v>0.1</v>
      </c>
      <c r="F13" s="33">
        <f t="shared" si="0"/>
        <v>0.2</v>
      </c>
      <c r="G13" s="1" t="s">
        <v>75</v>
      </c>
    </row>
    <row r="14" spans="1:7" x14ac:dyDescent="0.3">
      <c r="A14" s="5" t="s">
        <v>76</v>
      </c>
      <c r="B14" s="5" t="s">
        <v>77</v>
      </c>
      <c r="C14" s="3">
        <v>1</v>
      </c>
      <c r="D14" s="1" t="s">
        <v>104</v>
      </c>
      <c r="E14" s="33">
        <v>0.1</v>
      </c>
      <c r="F14" s="33">
        <f t="shared" si="0"/>
        <v>0.1</v>
      </c>
      <c r="G14" s="1" t="s">
        <v>79</v>
      </c>
    </row>
    <row r="15" spans="1:7" x14ac:dyDescent="0.3">
      <c r="A15" s="5" t="s">
        <v>80</v>
      </c>
      <c r="B15" s="5" t="s">
        <v>81</v>
      </c>
      <c r="C15" s="3">
        <v>4</v>
      </c>
      <c r="D15" s="1" t="s">
        <v>82</v>
      </c>
      <c r="E15" s="33">
        <v>20.63</v>
      </c>
      <c r="F15" s="33">
        <f t="shared" si="0"/>
        <v>82.52</v>
      </c>
      <c r="G15" s="1" t="s">
        <v>83</v>
      </c>
    </row>
    <row r="16" spans="1:7" x14ac:dyDescent="0.3">
      <c r="A16" s="5" t="s">
        <v>105</v>
      </c>
      <c r="B16" s="5" t="s">
        <v>33</v>
      </c>
      <c r="C16" s="3">
        <v>1</v>
      </c>
      <c r="D16" s="1" t="s">
        <v>85</v>
      </c>
      <c r="E16" s="33">
        <v>137.82</v>
      </c>
      <c r="F16" s="33">
        <f t="shared" si="0"/>
        <v>137.82</v>
      </c>
      <c r="G16" s="1" t="s">
        <v>106</v>
      </c>
    </row>
    <row r="17" spans="1:7" x14ac:dyDescent="0.3">
      <c r="A17" s="5" t="s">
        <v>87</v>
      </c>
      <c r="B17" s="5" t="s">
        <v>18</v>
      </c>
      <c r="C17" s="3">
        <v>1</v>
      </c>
      <c r="D17" s="1" t="s">
        <v>88</v>
      </c>
      <c r="E17" s="33">
        <v>1.57</v>
      </c>
      <c r="F17" s="33">
        <f t="shared" si="0"/>
        <v>1.57</v>
      </c>
      <c r="G17" s="1" t="s">
        <v>89</v>
      </c>
    </row>
    <row r="18" spans="1:7" x14ac:dyDescent="0.3">
      <c r="A18" s="5" t="s">
        <v>90</v>
      </c>
      <c r="B18" s="5" t="s">
        <v>58</v>
      </c>
      <c r="C18" s="3">
        <v>2</v>
      </c>
      <c r="D18" s="1" t="s">
        <v>91</v>
      </c>
      <c r="E18" s="33">
        <v>0.62</v>
      </c>
      <c r="F18" s="33">
        <f t="shared" si="0"/>
        <v>1.24</v>
      </c>
      <c r="G18" s="1" t="s">
        <v>92</v>
      </c>
    </row>
    <row r="19" spans="1:7" x14ac:dyDescent="0.3">
      <c r="A19" s="5" t="s">
        <v>93</v>
      </c>
      <c r="B19" s="5" t="s">
        <v>33</v>
      </c>
      <c r="C19" s="3">
        <v>1</v>
      </c>
      <c r="D19" s="1" t="s">
        <v>94</v>
      </c>
      <c r="E19" s="33">
        <v>8.42</v>
      </c>
      <c r="F19" s="33">
        <f t="shared" si="0"/>
        <v>8.42</v>
      </c>
      <c r="G19" s="1" t="s">
        <v>95</v>
      </c>
    </row>
    <row r="20" spans="1:7" x14ac:dyDescent="0.3">
      <c r="F20" s="32">
        <f>SUM(F2:F19)</f>
        <v>300.52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265E-43EB-4184-A9AB-FED368B9DFE5}">
  <dimension ref="A1:M44"/>
  <sheetViews>
    <sheetView tabSelected="1" zoomScale="85" zoomScaleNormal="85" workbookViewId="0">
      <selection activeCell="A28" sqref="A28"/>
    </sheetView>
  </sheetViews>
  <sheetFormatPr defaultRowHeight="15" customHeight="1" x14ac:dyDescent="0.3"/>
  <cols>
    <col min="1" max="1" width="23.6640625" bestFit="1" customWidth="1"/>
    <col min="2" max="2" width="25.5546875" bestFit="1" customWidth="1"/>
    <col min="3" max="3" width="8.6640625" bestFit="1" customWidth="1"/>
    <col min="4" max="4" width="9.88671875" bestFit="1" customWidth="1"/>
    <col min="5" max="5" width="9.6640625" bestFit="1" customWidth="1"/>
    <col min="6" max="6" width="30.6640625" bestFit="1" customWidth="1"/>
    <col min="7" max="7" width="19.6640625" bestFit="1" customWidth="1"/>
    <col min="8" max="8" width="10.88671875" bestFit="1" customWidth="1"/>
    <col min="9" max="9" width="15.109375" bestFit="1" customWidth="1"/>
    <col min="10" max="11" width="24.33203125" bestFit="1" customWidth="1"/>
    <col min="12" max="12" width="8.6640625" bestFit="1" customWidth="1"/>
    <col min="13" max="13" width="93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17" t="s">
        <v>4</v>
      </c>
      <c r="E1" s="17" t="s">
        <v>107</v>
      </c>
      <c r="F1" s="2" t="s">
        <v>108</v>
      </c>
    </row>
    <row r="2" spans="1:13" x14ac:dyDescent="0.3">
      <c r="A2" s="5" t="s">
        <v>35</v>
      </c>
      <c r="B2" s="5" t="s">
        <v>36</v>
      </c>
      <c r="C2" s="36">
        <v>50</v>
      </c>
      <c r="D2" s="42">
        <v>2.9000000000000001E-2</v>
      </c>
      <c r="E2" s="41">
        <f>C2*D2</f>
        <v>1.4500000000000002</v>
      </c>
      <c r="F2" s="21" t="s">
        <v>109</v>
      </c>
    </row>
    <row r="3" spans="1:13" x14ac:dyDescent="0.3">
      <c r="A3" s="5" t="s">
        <v>39</v>
      </c>
      <c r="B3" s="5" t="s">
        <v>40</v>
      </c>
      <c r="C3" s="36">
        <v>50</v>
      </c>
      <c r="D3" s="42">
        <v>2.46E-2</v>
      </c>
      <c r="E3" s="41">
        <f t="shared" ref="E3:E26" si="0">C3*D3</f>
        <v>1.23</v>
      </c>
      <c r="F3" s="21" t="s">
        <v>110</v>
      </c>
    </row>
    <row r="4" spans="1:13" x14ac:dyDescent="0.3">
      <c r="A4" s="5" t="s">
        <v>43</v>
      </c>
      <c r="B4" s="5" t="s">
        <v>44</v>
      </c>
      <c r="C4" s="36">
        <v>50</v>
      </c>
      <c r="D4" s="42">
        <v>3.56E-2</v>
      </c>
      <c r="E4" s="41">
        <f t="shared" si="0"/>
        <v>1.78</v>
      </c>
      <c r="F4" s="21" t="s">
        <v>111</v>
      </c>
    </row>
    <row r="5" spans="1:13" x14ac:dyDescent="0.3">
      <c r="A5" s="5" t="s">
        <v>47</v>
      </c>
      <c r="B5" s="5" t="s">
        <v>40</v>
      </c>
      <c r="C5" s="36">
        <v>50</v>
      </c>
      <c r="D5" s="42">
        <v>3.0200000000000001E-2</v>
      </c>
      <c r="E5" s="41">
        <f t="shared" si="0"/>
        <v>1.51</v>
      </c>
      <c r="F5" s="21" t="s">
        <v>112</v>
      </c>
    </row>
    <row r="6" spans="1:13" x14ac:dyDescent="0.3">
      <c r="A6" s="5" t="s">
        <v>50</v>
      </c>
      <c r="B6" s="5" t="s">
        <v>24</v>
      </c>
      <c r="C6" s="36">
        <v>10</v>
      </c>
      <c r="D6" s="42">
        <v>8.6999999999999994E-2</v>
      </c>
      <c r="E6" s="41">
        <f t="shared" si="0"/>
        <v>0.86999999999999988</v>
      </c>
      <c r="F6" s="21" t="s">
        <v>113</v>
      </c>
    </row>
    <row r="7" spans="1:13" x14ac:dyDescent="0.3">
      <c r="A7" s="5" t="s">
        <v>53</v>
      </c>
      <c r="B7" s="5" t="s">
        <v>54</v>
      </c>
      <c r="C7" s="36">
        <v>10</v>
      </c>
      <c r="D7" s="42">
        <v>9.8000000000000004E-2</v>
      </c>
      <c r="E7" s="41">
        <f t="shared" si="0"/>
        <v>0.98</v>
      </c>
      <c r="F7" s="21" t="s">
        <v>114</v>
      </c>
      <c r="J7" s="11"/>
      <c r="K7" s="11"/>
      <c r="L7" s="11"/>
      <c r="M7" s="11"/>
    </row>
    <row r="8" spans="1:13" x14ac:dyDescent="0.3">
      <c r="A8" s="5" t="s">
        <v>57</v>
      </c>
      <c r="B8" s="5" t="s">
        <v>58</v>
      </c>
      <c r="C8" s="36">
        <v>5</v>
      </c>
      <c r="D8" s="42">
        <v>0.37</v>
      </c>
      <c r="E8" s="41">
        <f t="shared" si="0"/>
        <v>1.85</v>
      </c>
      <c r="F8" s="21" t="s">
        <v>115</v>
      </c>
      <c r="J8" s="6"/>
      <c r="K8" s="6"/>
      <c r="L8" s="12"/>
      <c r="M8" s="7"/>
    </row>
    <row r="9" spans="1:13" x14ac:dyDescent="0.3">
      <c r="A9" s="5" t="s">
        <v>61</v>
      </c>
      <c r="B9" s="5" t="s">
        <v>24</v>
      </c>
      <c r="C9" s="36">
        <v>10</v>
      </c>
      <c r="D9" s="42">
        <v>5.6000000000000001E-2</v>
      </c>
      <c r="E9" s="41">
        <f t="shared" si="0"/>
        <v>0.56000000000000005</v>
      </c>
      <c r="F9" s="21" t="s">
        <v>116</v>
      </c>
      <c r="J9" s="6"/>
      <c r="K9" s="6"/>
      <c r="L9" s="12"/>
      <c r="M9" s="7"/>
    </row>
    <row r="10" spans="1:13" x14ac:dyDescent="0.3">
      <c r="A10" s="5" t="s">
        <v>29</v>
      </c>
      <c r="B10" s="5" t="s">
        <v>30</v>
      </c>
      <c r="C10" s="36">
        <v>16</v>
      </c>
      <c r="D10" s="42">
        <v>11.077999999999999</v>
      </c>
      <c r="E10" s="41">
        <f t="shared" si="0"/>
        <v>177.24799999999999</v>
      </c>
      <c r="F10" s="21" t="s">
        <v>117</v>
      </c>
      <c r="J10" s="6"/>
      <c r="K10" s="6"/>
      <c r="L10" s="12"/>
      <c r="M10" s="7"/>
    </row>
    <row r="11" spans="1:13" x14ac:dyDescent="0.3">
      <c r="A11" s="5" t="s">
        <v>65</v>
      </c>
      <c r="B11" s="5" t="s">
        <v>66</v>
      </c>
      <c r="C11" s="36">
        <v>10</v>
      </c>
      <c r="D11" s="42">
        <v>8.1000000000000003E-2</v>
      </c>
      <c r="E11" s="41">
        <f t="shared" si="0"/>
        <v>0.81</v>
      </c>
      <c r="F11" s="21" t="s">
        <v>118</v>
      </c>
      <c r="J11" s="6"/>
      <c r="K11" s="6"/>
      <c r="L11" s="12"/>
      <c r="M11" s="7"/>
    </row>
    <row r="12" spans="1:13" x14ac:dyDescent="0.3">
      <c r="A12" s="5" t="s">
        <v>69</v>
      </c>
      <c r="B12" s="5" t="s">
        <v>70</v>
      </c>
      <c r="C12" s="36">
        <v>10</v>
      </c>
      <c r="D12" s="42">
        <v>4.1000000000000002E-2</v>
      </c>
      <c r="E12" s="41">
        <f t="shared" si="0"/>
        <v>0.41000000000000003</v>
      </c>
      <c r="F12" s="21" t="s">
        <v>119</v>
      </c>
      <c r="J12" s="6"/>
      <c r="K12" s="6"/>
      <c r="L12" s="12"/>
      <c r="M12" s="7"/>
    </row>
    <row r="13" spans="1:13" x14ac:dyDescent="0.3">
      <c r="A13" s="5" t="s">
        <v>73</v>
      </c>
      <c r="B13" s="5" t="s">
        <v>44</v>
      </c>
      <c r="C13" s="36">
        <v>50</v>
      </c>
      <c r="D13" s="42">
        <v>5.5999999999999999E-3</v>
      </c>
      <c r="E13" s="41">
        <f t="shared" si="0"/>
        <v>0.27999999999999997</v>
      </c>
      <c r="F13" s="21" t="s">
        <v>120</v>
      </c>
      <c r="J13" s="6"/>
      <c r="K13" s="6"/>
      <c r="L13" s="12"/>
      <c r="M13" s="7"/>
    </row>
    <row r="14" spans="1:13" x14ac:dyDescent="0.3">
      <c r="A14" s="5" t="s">
        <v>76</v>
      </c>
      <c r="B14" s="5" t="s">
        <v>77</v>
      </c>
      <c r="C14" s="36">
        <v>25</v>
      </c>
      <c r="D14" s="42">
        <v>5.5999999999999999E-3</v>
      </c>
      <c r="E14" s="41">
        <f t="shared" si="0"/>
        <v>0.13999999999999999</v>
      </c>
      <c r="F14" s="21" t="s">
        <v>121</v>
      </c>
      <c r="J14" s="6"/>
      <c r="K14" s="6"/>
      <c r="L14" s="12"/>
      <c r="M14" s="7"/>
    </row>
    <row r="15" spans="1:13" x14ac:dyDescent="0.3">
      <c r="A15" s="5" t="s">
        <v>80</v>
      </c>
      <c r="B15" s="5" t="s">
        <v>81</v>
      </c>
      <c r="C15" s="37">
        <v>10</v>
      </c>
      <c r="D15" s="43">
        <v>20.63</v>
      </c>
      <c r="E15" s="41">
        <f t="shared" si="0"/>
        <v>206.29999999999998</v>
      </c>
      <c r="F15" s="21" t="s">
        <v>122</v>
      </c>
      <c r="J15" s="6"/>
      <c r="K15" s="6"/>
      <c r="L15" s="12"/>
      <c r="M15" s="7"/>
    </row>
    <row r="16" spans="1:13" x14ac:dyDescent="0.3">
      <c r="A16" s="5" t="s">
        <v>87</v>
      </c>
      <c r="B16" s="5" t="s">
        <v>18</v>
      </c>
      <c r="C16" s="36">
        <v>3</v>
      </c>
      <c r="D16" s="42">
        <v>1.57</v>
      </c>
      <c r="E16" s="41">
        <f t="shared" si="0"/>
        <v>4.71</v>
      </c>
      <c r="F16" s="21" t="s">
        <v>123</v>
      </c>
      <c r="J16" s="6"/>
      <c r="K16" s="6"/>
      <c r="L16" s="12"/>
      <c r="M16" s="7"/>
    </row>
    <row r="17" spans="1:13" x14ac:dyDescent="0.3">
      <c r="A17" s="20" t="s">
        <v>90</v>
      </c>
      <c r="B17" s="20" t="s">
        <v>58</v>
      </c>
      <c r="C17" s="38">
        <v>6</v>
      </c>
      <c r="D17" s="42">
        <v>0.62</v>
      </c>
      <c r="E17" s="41">
        <f t="shared" si="0"/>
        <v>3.7199999999999998</v>
      </c>
      <c r="F17" s="40" t="s">
        <v>124</v>
      </c>
      <c r="J17" s="6"/>
      <c r="K17" s="6"/>
      <c r="L17" s="12"/>
      <c r="M17" s="7"/>
    </row>
    <row r="18" spans="1:13" x14ac:dyDescent="0.3">
      <c r="A18" s="15" t="s">
        <v>93</v>
      </c>
      <c r="B18" s="14" t="s">
        <v>33</v>
      </c>
      <c r="C18" s="39">
        <v>2</v>
      </c>
      <c r="D18" s="42">
        <v>8.42</v>
      </c>
      <c r="E18" s="41">
        <f t="shared" si="0"/>
        <v>16.84</v>
      </c>
      <c r="F18" s="19" t="s">
        <v>125</v>
      </c>
      <c r="J18" s="6"/>
      <c r="K18" s="6"/>
      <c r="L18" s="12"/>
      <c r="M18" s="7"/>
    </row>
    <row r="19" spans="1:13" x14ac:dyDescent="0.3">
      <c r="A19" s="15" t="s">
        <v>96</v>
      </c>
      <c r="B19" s="15" t="s">
        <v>30</v>
      </c>
      <c r="C19" s="39">
        <v>10</v>
      </c>
      <c r="D19" s="42">
        <v>10.478</v>
      </c>
      <c r="E19" s="41">
        <f t="shared" si="0"/>
        <v>104.78</v>
      </c>
      <c r="F19" s="19" t="s">
        <v>126</v>
      </c>
      <c r="J19" s="6"/>
      <c r="K19" s="6"/>
      <c r="L19" s="12"/>
      <c r="M19" s="7"/>
    </row>
    <row r="20" spans="1:13" x14ac:dyDescent="0.3">
      <c r="A20" s="23" t="s">
        <v>7</v>
      </c>
      <c r="B20" s="14" t="s">
        <v>8</v>
      </c>
      <c r="C20" s="39">
        <v>10</v>
      </c>
      <c r="D20" s="42">
        <v>8.1000000000000003E-2</v>
      </c>
      <c r="E20" s="41">
        <f t="shared" si="0"/>
        <v>0.81</v>
      </c>
      <c r="F20" s="19" t="s">
        <v>127</v>
      </c>
      <c r="J20" s="6"/>
      <c r="K20" s="6"/>
      <c r="L20" s="12"/>
      <c r="M20" s="7"/>
    </row>
    <row r="21" spans="1:13" x14ac:dyDescent="0.3">
      <c r="A21" s="14" t="s">
        <v>128</v>
      </c>
      <c r="B21" t="s">
        <v>129</v>
      </c>
      <c r="C21" s="39">
        <v>10</v>
      </c>
      <c r="D21" s="42">
        <v>0.03</v>
      </c>
      <c r="E21" s="41">
        <f t="shared" si="0"/>
        <v>0.3</v>
      </c>
      <c r="F21" t="s">
        <v>130</v>
      </c>
      <c r="J21" s="6"/>
      <c r="K21" s="6"/>
      <c r="L21" s="12"/>
      <c r="M21" s="7"/>
    </row>
    <row r="22" spans="1:13" x14ac:dyDescent="0.3">
      <c r="A22" s="24" t="s">
        <v>14</v>
      </c>
      <c r="B22" s="14" t="s">
        <v>15</v>
      </c>
      <c r="C22" s="39">
        <v>10</v>
      </c>
      <c r="D22" s="42">
        <v>0.17199999999999999</v>
      </c>
      <c r="E22" s="41">
        <f t="shared" si="0"/>
        <v>1.7199999999999998</v>
      </c>
      <c r="F22" s="19" t="s">
        <v>131</v>
      </c>
      <c r="J22" s="6"/>
      <c r="K22" s="6"/>
      <c r="L22" s="12"/>
      <c r="M22" s="7"/>
    </row>
    <row r="23" spans="1:13" x14ac:dyDescent="0.3">
      <c r="A23" s="14" t="s">
        <v>17</v>
      </c>
      <c r="B23" s="14" t="s">
        <v>18</v>
      </c>
      <c r="C23" s="39">
        <v>2</v>
      </c>
      <c r="D23" s="42">
        <v>1.8</v>
      </c>
      <c r="E23" s="41">
        <f t="shared" si="0"/>
        <v>3.6</v>
      </c>
      <c r="F23" s="19" t="s">
        <v>132</v>
      </c>
      <c r="J23" s="6"/>
      <c r="K23" s="6"/>
      <c r="L23" s="12"/>
      <c r="M23" s="7"/>
    </row>
    <row r="24" spans="1:13" x14ac:dyDescent="0.3">
      <c r="A24" s="14" t="s">
        <v>20</v>
      </c>
      <c r="B24" s="14" t="s">
        <v>21</v>
      </c>
      <c r="C24" s="39">
        <v>10</v>
      </c>
      <c r="D24" s="42">
        <v>4.0000000000000001E-3</v>
      </c>
      <c r="E24" s="41">
        <f t="shared" si="0"/>
        <v>0.04</v>
      </c>
      <c r="F24" s="19" t="s">
        <v>133</v>
      </c>
      <c r="J24" s="6"/>
      <c r="K24" s="6"/>
      <c r="L24" s="12"/>
      <c r="M24" s="7"/>
    </row>
    <row r="25" spans="1:13" x14ac:dyDescent="0.3">
      <c r="A25" s="14" t="s">
        <v>23</v>
      </c>
      <c r="B25" s="14" t="s">
        <v>24</v>
      </c>
      <c r="C25" s="39">
        <v>10</v>
      </c>
      <c r="D25" s="42">
        <v>3.3000000000000002E-2</v>
      </c>
      <c r="E25" s="41">
        <f t="shared" si="0"/>
        <v>0.33</v>
      </c>
      <c r="F25" s="19" t="s">
        <v>134</v>
      </c>
      <c r="J25" s="8"/>
      <c r="K25" s="8"/>
      <c r="L25" s="13"/>
    </row>
    <row r="26" spans="1:13" x14ac:dyDescent="0.3">
      <c r="A26" s="14" t="s">
        <v>26</v>
      </c>
      <c r="B26" s="14" t="s">
        <v>27</v>
      </c>
      <c r="C26" s="39">
        <v>10</v>
      </c>
      <c r="D26" s="42">
        <v>0.315</v>
      </c>
      <c r="E26" s="41">
        <f t="shared" si="0"/>
        <v>3.15</v>
      </c>
      <c r="F26" s="19" t="s">
        <v>135</v>
      </c>
      <c r="J26" s="11"/>
      <c r="K26" s="11"/>
      <c r="L26" s="11"/>
      <c r="M26" s="11"/>
    </row>
    <row r="27" spans="1:13" x14ac:dyDescent="0.3">
      <c r="E27" s="32">
        <f>SUM(E2:E26)</f>
        <v>535.41799999999989</v>
      </c>
      <c r="J27" s="6"/>
      <c r="K27" s="6"/>
      <c r="L27" s="9"/>
      <c r="M27" s="7"/>
    </row>
    <row r="28" spans="1:13" x14ac:dyDescent="0.3">
      <c r="J28" s="6"/>
      <c r="K28" s="6"/>
      <c r="L28" s="9"/>
      <c r="M28" s="7"/>
    </row>
    <row r="29" spans="1:13" x14ac:dyDescent="0.3">
      <c r="J29" s="6"/>
      <c r="K29" s="6"/>
      <c r="L29" s="9"/>
      <c r="M29" s="7"/>
    </row>
    <row r="30" spans="1:13" x14ac:dyDescent="0.3">
      <c r="J30" s="6"/>
      <c r="K30" s="6"/>
      <c r="L30" s="9"/>
      <c r="M30" s="7"/>
    </row>
    <row r="31" spans="1:13" x14ac:dyDescent="0.3">
      <c r="J31" s="6"/>
      <c r="K31" s="6"/>
      <c r="L31" s="9"/>
      <c r="M31" s="7"/>
    </row>
    <row r="32" spans="1:13" x14ac:dyDescent="0.3">
      <c r="J32" s="6"/>
      <c r="K32" s="6"/>
      <c r="L32" s="9"/>
      <c r="M32" s="7"/>
    </row>
    <row r="33" spans="10:13" x14ac:dyDescent="0.3">
      <c r="J33" s="6"/>
      <c r="K33" s="6"/>
      <c r="L33" s="9"/>
      <c r="M33" s="7"/>
    </row>
    <row r="34" spans="10:13" x14ac:dyDescent="0.3">
      <c r="J34" s="6"/>
      <c r="K34" s="6"/>
      <c r="L34" s="9"/>
      <c r="M34" s="7"/>
    </row>
    <row r="35" spans="10:13" x14ac:dyDescent="0.3">
      <c r="J35" s="6"/>
      <c r="K35" s="6"/>
      <c r="L35" s="9"/>
      <c r="M35" s="7"/>
    </row>
    <row r="36" spans="10:13" x14ac:dyDescent="0.3">
      <c r="J36" s="6"/>
      <c r="K36" s="6"/>
      <c r="L36" s="9"/>
      <c r="M36" s="7"/>
    </row>
    <row r="37" spans="10:13" x14ac:dyDescent="0.3">
      <c r="J37" s="6"/>
      <c r="K37" s="6"/>
      <c r="L37" s="9"/>
      <c r="M37" s="7"/>
    </row>
    <row r="38" spans="10:13" x14ac:dyDescent="0.3">
      <c r="J38" s="6"/>
      <c r="K38" s="6"/>
      <c r="L38" s="9"/>
      <c r="M38" s="7"/>
    </row>
    <row r="39" spans="10:13" x14ac:dyDescent="0.3">
      <c r="J39" s="6"/>
      <c r="K39" s="6"/>
      <c r="L39" s="9"/>
      <c r="M39" s="7"/>
    </row>
    <row r="40" spans="10:13" x14ac:dyDescent="0.3">
      <c r="J40" s="6"/>
      <c r="K40" s="6"/>
      <c r="L40" s="9"/>
      <c r="M40" s="7"/>
    </row>
    <row r="41" spans="10:13" x14ac:dyDescent="0.3">
      <c r="J41" s="6"/>
      <c r="K41" s="6"/>
      <c r="L41" s="9"/>
      <c r="M41" s="7"/>
    </row>
    <row r="42" spans="10:13" x14ac:dyDescent="0.3">
      <c r="J42" s="6"/>
      <c r="K42" s="7"/>
      <c r="L42" s="9"/>
      <c r="M42" s="7"/>
    </row>
    <row r="43" spans="10:13" x14ac:dyDescent="0.3">
      <c r="J43" s="6"/>
      <c r="K43" s="7"/>
      <c r="L43" s="9"/>
      <c r="M43" s="7"/>
    </row>
    <row r="44" spans="10:13" x14ac:dyDescent="0.3">
      <c r="J44" s="8"/>
      <c r="L44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60B2136096B4EAFB712773D85657D" ma:contentTypeVersion="10" ma:contentTypeDescription="Create a new document." ma:contentTypeScope="" ma:versionID="f87442331e6fa04f24e50a0957e81ded">
  <xsd:schema xmlns:xsd="http://www.w3.org/2001/XMLSchema" xmlns:xs="http://www.w3.org/2001/XMLSchema" xmlns:p="http://schemas.microsoft.com/office/2006/metadata/properties" xmlns:ns2="276d4ff5-040e-4606-ba9f-b0d31eb5656c" xmlns:ns3="ea8f9a4b-0f24-4bbd-a102-a3a084d71b71" targetNamespace="http://schemas.microsoft.com/office/2006/metadata/properties" ma:root="true" ma:fieldsID="c1a8cf4818ffe2083edabf988035b4ef" ns2:_="" ns3:_="">
    <xsd:import namespace="276d4ff5-040e-4606-ba9f-b0d31eb5656c"/>
    <xsd:import namespace="ea8f9a4b-0f24-4bbd-a102-a3a084d71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d4ff5-040e-4606-ba9f-b0d31eb56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f9a4b-0f24-4bbd-a102-a3a084d71b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374520-f1ea-43d3-adb8-6b4afdd727b8}" ma:internalName="TaxCatchAll" ma:showField="CatchAllData" ma:web="ea8f9a4b-0f24-4bbd-a102-a3a084d71b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d4ff5-040e-4606-ba9f-b0d31eb5656c">
      <Terms xmlns="http://schemas.microsoft.com/office/infopath/2007/PartnerControls"/>
    </lcf76f155ced4ddcb4097134ff3c332f>
    <TaxCatchAll xmlns="ea8f9a4b-0f24-4bbd-a102-a3a084d71b71" xsi:nil="true"/>
  </documentManagement>
</p:properties>
</file>

<file path=customXml/itemProps1.xml><?xml version="1.0" encoding="utf-8"?>
<ds:datastoreItem xmlns:ds="http://schemas.openxmlformats.org/officeDocument/2006/customXml" ds:itemID="{07D2483B-442B-478A-883B-C3156AAB6F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4D4758-0C8A-457D-96C4-A046C927B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d4ff5-040e-4606-ba9f-b0d31eb5656c"/>
    <ds:schemaRef ds:uri="ea8f9a4b-0f24-4bbd-a102-a3a084d7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4C16B5-8744-4FDB-B796-B1821C66CCBD}">
  <ds:schemaRefs>
    <ds:schemaRef ds:uri="http://schemas.microsoft.com/office/2006/metadata/properties"/>
    <ds:schemaRef ds:uri="276d4ff5-040e-4606-ba9f-b0d31eb5656c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ea8f9a4b-0f24-4bbd-a102-a3a084d71b7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VCO</vt:lpstr>
      <vt:lpstr>Receiver</vt:lpstr>
      <vt:lpstr>Antenna</vt:lpstr>
      <vt:lpstr>Transmitter</vt:lpstr>
      <vt:lpstr>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Anderson</dc:creator>
  <cp:keywords/>
  <dc:description/>
  <cp:lastModifiedBy>Anderson, John M</cp:lastModifiedBy>
  <cp:revision/>
  <dcterms:created xsi:type="dcterms:W3CDTF">2026-03-27T03:51:26Z</dcterms:created>
  <dcterms:modified xsi:type="dcterms:W3CDTF">2026-05-11T03:27:58Z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0x01010069F60B2136096B4EAFB712773D85657D</vt:lpwstr>
  </property>
  <property fmtid="{D5CDD505-2E9C-101B-9397-08002B2CF9AE}" pid="3" name="MediaServiceImageTags">
    <vt:lpwstr/>
  </property>
</Properties>
</file>